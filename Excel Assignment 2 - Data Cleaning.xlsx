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 activeTab="1"/>
  </bookViews>
  <sheets>
    <sheet name="Dataset" sheetId="1" r:id="rId1"/>
    <sheet name="Sheet1" sheetId="2" r:id="rId2"/>
    <sheet name="Sheet2" sheetId="3" r:id="rId3"/>
  </sheets>
  <calcPr calcId="124519"/>
  <extLst>
    <ext uri="GoogleSheetsCustomDataVersion2">
      <go:sheetsCustomData xmlns:go="http://customooxmlschemas.google.com/" r:id="" roundtripDataChecksum="hJb8T1ZghnA6qFS/bC5j8xshLTM/vtIaNva7vzkMTCI="/>
    </ext>
  </extLst>
</workbook>
</file>

<file path=xl/calcChain.xml><?xml version="1.0" encoding="utf-8"?>
<calcChain xmlns="http://schemas.openxmlformats.org/spreadsheetml/2006/main">
  <c r="G2" i="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J29"/>
  <c r="J30"/>
  <c r="J31"/>
  <c r="J32"/>
  <c r="J16"/>
  <c r="J17"/>
  <c r="J18"/>
  <c r="J19"/>
  <c r="J20"/>
  <c r="J21"/>
  <c r="J22"/>
  <c r="J23"/>
  <c r="J24"/>
  <c r="J25"/>
  <c r="J26"/>
  <c r="J27"/>
  <c r="J28"/>
  <c r="J3"/>
  <c r="J4"/>
  <c r="J5"/>
  <c r="J6"/>
  <c r="J7"/>
  <c r="J8"/>
  <c r="J9"/>
  <c r="J10"/>
  <c r="J11"/>
  <c r="J12"/>
  <c r="J13"/>
  <c r="J14"/>
  <c r="J15"/>
  <c r="J2"/>
  <c r="I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H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</calcChain>
</file>

<file path=xl/sharedStrings.xml><?xml version="1.0" encoding="utf-8"?>
<sst xmlns="http://schemas.openxmlformats.org/spreadsheetml/2006/main" count="307" uniqueCount="124">
  <si>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</si>
  <si>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</si>
  <si>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</si>
  <si>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</si>
  <si>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</si>
  <si>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</si>
  <si>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</si>
  <si>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</si>
  <si>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</si>
  <si>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</si>
  <si>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</si>
  <si>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</si>
  <si>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</si>
  <si>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</si>
  <si>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</si>
  <si>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</si>
  <si>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</si>
  <si>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</si>
  <si>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</si>
  <si>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</si>
  <si>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</si>
  <si>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</si>
  <si>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</si>
  <si>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</si>
  <si>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</si>
  <si>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</si>
  <si>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</si>
  <si>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</si>
  <si>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</si>
  <si>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</si>
  <si>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</si>
  <si>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</si>
  <si>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</si>
  <si>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</si>
  <si>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</si>
  <si>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</si>
  <si>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</si>
  <si>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</si>
  <si>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</si>
  <si>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</si>
  <si>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</si>
  <si>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</si>
  <si>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</si>
  <si>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</si>
  <si>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</si>
  <si>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</si>
  <si>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</si>
  <si>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</si>
  <si>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</si>
  <si>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</si>
  <si>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</si>
  <si>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</si>
  <si>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</si>
  <si>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</si>
  <si>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</si>
  <si>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</si>
  <si>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</si>
  <si>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</si>
  <si>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</si>
  <si>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</si>
  <si>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</si>
  <si>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</si>
  <si>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</si>
  <si>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</si>
  <si>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</si>
  <si>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</si>
  <si>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</si>
  <si>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</si>
  <si>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</si>
  <si>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</si>
  <si>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</si>
  <si>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</si>
  <si>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</si>
  <si>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</si>
  <si>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</si>
  <si>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</si>
  <si>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</si>
  <si>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</si>
  <si>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</si>
  <si>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</si>
  <si>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</si>
  <si>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</si>
  <si>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</si>
  <si>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</si>
  <si>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</si>
  <si>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</si>
  <si>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</si>
  <si>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</si>
  <si>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</si>
  <si>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</si>
  <si>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</si>
  <si>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</si>
  <si>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</si>
  <si>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Country Code</t>
  </si>
  <si>
    <t>Product and Brand Name</t>
  </si>
  <si>
    <t>Manufacturing date</t>
  </si>
  <si>
    <t>1. Handling Missing Values</t>
  </si>
  <si>
    <t>I checked the Category column and found no missing values.</t>
  </si>
  <si>
    <t>Therefore, no imputation or data removal was required.</t>
  </si>
  <si>
    <t>2.Correcting Inconsistent Data</t>
  </si>
  <si>
    <t>I checked the Product Name column and found no inconsistent text formatting.</t>
  </si>
  <si>
    <t>I checked the Category column and found no spelling mistakes or typos.</t>
  </si>
  <si>
    <t>Therefore, no corrections or standardization were required.</t>
  </si>
  <si>
    <t>3.Removing Duplicates</t>
  </si>
  <si>
    <t>Select the entire dataset.</t>
  </si>
  <si>
    <t>Use Data → Remove Duplicates.</t>
  </si>
  <si>
    <t>Check the dataset for duplicate rows. There are 3 duplicates are removed from dataset.</t>
  </si>
  <si>
    <t>4.Splitting and Merging Data</t>
  </si>
  <si>
    <t>Split the Product ID into Manufacturing Date and Country Code.</t>
  </si>
  <si>
    <t>I checked the Price column and found no missing values using =COUNTBLANK(D2) formula.</t>
  </si>
  <si>
    <t>Merge Columns</t>
  </si>
  <si>
    <t>Name the new column Product Brand Name.</t>
  </si>
  <si>
    <t>Combine the Brand Name and Product Name columns using =CONCATENATE(C2, " " ,B2) formula.</t>
  </si>
  <si>
    <t>5.Number Formatting</t>
  </si>
  <si>
    <t>Price</t>
  </si>
  <si>
    <t>Format the Price column as Currency.</t>
  </si>
  <si>
    <t>Manufacturing Date</t>
  </si>
  <si>
    <t>Format the Manufacturing Date column as DD-MM-YYYY.</t>
  </si>
  <si>
    <t>DATA → TEXT TO COLUMNS</t>
  </si>
  <si>
    <t>6. Conditional Formatting</t>
  </si>
  <si>
    <t>Apply Data Bars or Color Scales to the Price column.</t>
  </si>
  <si>
    <t>Create a conditional formatting rule for the Category column.</t>
  </si>
  <si>
    <t>Highlight all cells where the category is Electronics.</t>
  </si>
  <si>
    <t>Split Product ID using =LEFT(A2,2) formula.</t>
  </si>
</sst>
</file>

<file path=xl/styles.xml><?xml version="1.0" encoding="utf-8"?>
<styleSheet xmlns="http://schemas.openxmlformats.org/spreadsheetml/2006/main">
  <numFmts count="3">
    <numFmt numFmtId="170" formatCode="[$$-409]#,##0"/>
    <numFmt numFmtId="172" formatCode="[$-14009]dd/mm/yyyy;@"/>
    <numFmt numFmtId="173" formatCode="[$-F800]dddd\,\ mmmm\ dd\,\ yyyy"/>
  </numFmts>
  <fonts count="6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 applyAlignme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3" borderId="3" xfId="0" applyNumberFormat="1" applyFont="1" applyFill="1" applyBorder="1" applyAlignment="1">
      <alignment horizontal="center"/>
    </xf>
    <xf numFmtId="0" fontId="4" fillId="3" borderId="1" xfId="0" applyNumberFormat="1" applyFont="1" applyFill="1" applyBorder="1" applyAlignment="1">
      <alignment horizontal="center"/>
    </xf>
    <xf numFmtId="0" fontId="4" fillId="3" borderId="7" xfId="0" applyNumberFormat="1" applyFont="1" applyFill="1" applyBorder="1" applyAlignment="1">
      <alignment horizontal="center"/>
    </xf>
    <xf numFmtId="170" fontId="1" fillId="2" borderId="3" xfId="0" applyNumberFormat="1" applyFont="1" applyFill="1" applyBorder="1" applyAlignment="1">
      <alignment horizontal="center"/>
    </xf>
    <xf numFmtId="170" fontId="4" fillId="3" borderId="3" xfId="0" applyNumberFormat="1" applyFont="1" applyFill="1" applyBorder="1" applyAlignment="1">
      <alignment horizontal="center"/>
    </xf>
    <xf numFmtId="170" fontId="2" fillId="3" borderId="1" xfId="0" applyNumberFormat="1" applyFont="1" applyFill="1" applyBorder="1" applyAlignment="1">
      <alignment horizontal="center"/>
    </xf>
    <xf numFmtId="170" fontId="0" fillId="0" borderId="0" xfId="0" applyNumberFormat="1" applyFont="1" applyAlignment="1"/>
    <xf numFmtId="170" fontId="0" fillId="0" borderId="0" xfId="0" applyNumberFormat="1" applyFont="1" applyAlignment="1">
      <alignment horizontal="center"/>
    </xf>
    <xf numFmtId="0" fontId="3" fillId="2" borderId="4" xfId="0" applyFont="1" applyFill="1" applyBorder="1" applyAlignment="1">
      <alignment horizontal="center"/>
    </xf>
    <xf numFmtId="173" fontId="3" fillId="2" borderId="4" xfId="0" applyNumberFormat="1" applyFont="1" applyFill="1" applyBorder="1" applyAlignment="1">
      <alignment horizontal="center"/>
    </xf>
    <xf numFmtId="173" fontId="4" fillId="3" borderId="3" xfId="0" applyNumberFormat="1" applyFont="1" applyFill="1" applyBorder="1" applyAlignment="1">
      <alignment horizontal="center"/>
    </xf>
    <xf numFmtId="173" fontId="2" fillId="3" borderId="6" xfId="0" applyNumberFormat="1" applyFont="1" applyFill="1" applyBorder="1" applyAlignment="1">
      <alignment horizontal="center"/>
    </xf>
    <xf numFmtId="173" fontId="4" fillId="3" borderId="9" xfId="0" applyNumberFormat="1" applyFont="1" applyFill="1" applyBorder="1" applyAlignment="1">
      <alignment horizontal="center"/>
    </xf>
    <xf numFmtId="173" fontId="0" fillId="0" borderId="0" xfId="0" applyNumberFormat="1" applyFont="1" applyAlignment="1"/>
    <xf numFmtId="173" fontId="0" fillId="0" borderId="0" xfId="0" applyNumberFormat="1" applyFont="1" applyAlignment="1">
      <alignment horizontal="center"/>
    </xf>
    <xf numFmtId="0" fontId="4" fillId="3" borderId="4" xfId="0" applyNumberFormat="1" applyFont="1" applyFill="1" applyBorder="1" applyAlignment="1">
      <alignment horizontal="center"/>
    </xf>
    <xf numFmtId="0" fontId="4" fillId="3" borderId="6" xfId="0" applyNumberFormat="1" applyFont="1" applyFill="1" applyBorder="1" applyAlignment="1">
      <alignment horizontal="center"/>
    </xf>
    <xf numFmtId="0" fontId="4" fillId="3" borderId="8" xfId="0" applyNumberFormat="1" applyFont="1" applyFill="1" applyBorder="1" applyAlignment="1">
      <alignment horizontal="center"/>
    </xf>
    <xf numFmtId="172" fontId="3" fillId="2" borderId="1" xfId="0" applyNumberFormat="1" applyFont="1" applyFill="1" applyBorder="1" applyAlignment="1">
      <alignment horizontal="center"/>
    </xf>
    <xf numFmtId="172" fontId="4" fillId="3" borderId="1" xfId="0" applyNumberFormat="1" applyFont="1" applyFill="1" applyBorder="1" applyAlignment="1">
      <alignment horizontal="center"/>
    </xf>
    <xf numFmtId="172" fontId="0" fillId="0" borderId="1" xfId="0" applyNumberFormat="1" applyFont="1" applyBorder="1" applyAlignment="1">
      <alignment horizontal="center"/>
    </xf>
    <xf numFmtId="172" fontId="0" fillId="0" borderId="0" xfId="0" applyNumberFormat="1" applyFont="1" applyBorder="1" applyAlignment="1">
      <alignment horizontal="center"/>
    </xf>
    <xf numFmtId="0" fontId="5" fillId="0" borderId="0" xfId="0" applyFont="1" applyAlignment="1"/>
    <xf numFmtId="0" fontId="0" fillId="0" borderId="0" xfId="0" applyAlignment="1"/>
    <xf numFmtId="172" fontId="0" fillId="0" borderId="3" xfId="0" applyNumberFormat="1" applyFont="1" applyBorder="1" applyAlignment="1">
      <alignment horizontal="center"/>
    </xf>
    <xf numFmtId="16" fontId="0" fillId="0" borderId="0" xfId="0" applyNumberFormat="1" applyFont="1" applyAlignment="1">
      <alignment horizont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3" formatCode="[$-F800]dddd\,\ mmmm\ dd\,\ yyyy"/>
      <fill>
        <patternFill patternType="solid">
          <fgColor rgb="FFE0F7FA"/>
          <bgColor rgb="FFE0F7FA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0" formatCode="[$$-409]#,##0"/>
      <fill>
        <patternFill patternType="solid">
          <fgColor rgb="FFE0F7FA"/>
          <bgColor rgb="FFE0F7FA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relativeIndent="0" justifyLastLine="0" shrinkToFit="0" mergeCell="0" readingOrder="0"/>
    </dxf>
  </dxfs>
  <tableStyles count="0" defaultTableStyle="TableStyleMedium9" defaultPivotStyle="PivotStyleLight16"/>
  <colors>
    <mruColors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e3" displayName="Table3" ref="A1:I32" totalsRowShown="0" headerRowDxfId="7" dataDxfId="16" headerRowBorderDxfId="14" tableBorderDxfId="15" totalsRowBorderDxfId="13">
  <autoFilter ref="A1:I32">
    <filterColumn colId="6"/>
    <filterColumn colId="7"/>
    <filterColumn colId="8"/>
  </autoFilter>
  <tableColumns count="9">
    <tableColumn id="1" name="Product ID" dataDxfId="12"/>
    <tableColumn id="2" name="Product Name" dataDxfId="11"/>
    <tableColumn id="3" name="Brand Name" dataDxfId="10"/>
    <tableColumn id="4" name="Price ($)" dataDxfId="3"/>
    <tableColumn id="5" name="Quantity" dataDxfId="9"/>
    <tableColumn id="6" name="Category" dataDxfId="8"/>
    <tableColumn id="9" name="Manufacturing date" dataDxfId="0">
      <calculatedColumnFormula>LEFT(A2,2)</calculatedColumnFormula>
    </tableColumn>
    <tableColumn id="7" name="Country Code" dataDxfId="6">
      <calculatedColumnFormula>RIGHT(A2,2)</calculatedColumnFormula>
    </tableColumn>
    <tableColumn id="8" name="Product and Brand Name" dataDxfId="5">
      <calculatedColumnFormula>CONCATENATE(C2, " ", B2)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1000"/>
  <sheetViews>
    <sheetView workbookViewId="0">
      <selection activeCell="A2" sqref="A1:F35"/>
    </sheetView>
  </sheetViews>
  <sheetFormatPr defaultColWidth="12.5703125" defaultRowHeight="15" customHeight="1"/>
  <cols>
    <col min="2" max="2" width="14.140625" customWidth="1"/>
  </cols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/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6"/>
  <sheetViews>
    <sheetView tabSelected="1" workbookViewId="0">
      <selection activeCell="G3" sqref="G3"/>
    </sheetView>
  </sheetViews>
  <sheetFormatPr defaultRowHeight="12.75"/>
  <cols>
    <col min="1" max="1" width="15" style="9" bestFit="1" customWidth="1"/>
    <col min="2" max="2" width="18.5703125" style="9" bestFit="1" customWidth="1"/>
    <col min="3" max="3" width="16.85546875" style="9" bestFit="1" customWidth="1"/>
    <col min="4" max="4" width="13" style="21" bestFit="1" customWidth="1"/>
    <col min="5" max="5" width="13.140625" style="9" bestFit="1" customWidth="1"/>
    <col min="6" max="6" width="13.7109375" style="9" bestFit="1" customWidth="1"/>
    <col min="7" max="7" width="23.42578125" style="28" bestFit="1" customWidth="1"/>
    <col min="8" max="8" width="18" style="9" bestFit="1" customWidth="1"/>
    <col min="9" max="9" width="28.85546875" style="9" bestFit="1" customWidth="1"/>
    <col min="10" max="10" width="28.85546875" style="9" customWidth="1"/>
    <col min="11" max="11" width="20.7109375" style="34" customWidth="1"/>
    <col min="12" max="16384" width="9.140625" style="9"/>
  </cols>
  <sheetData>
    <row r="1" spans="1:12">
      <c r="A1" s="6" t="s">
        <v>0</v>
      </c>
      <c r="B1" s="7" t="s">
        <v>1</v>
      </c>
      <c r="C1" s="7" t="s">
        <v>2</v>
      </c>
      <c r="D1" s="17" t="s">
        <v>3</v>
      </c>
      <c r="E1" s="7" t="s">
        <v>4</v>
      </c>
      <c r="F1" s="8" t="s">
        <v>5</v>
      </c>
      <c r="G1" s="23" t="s">
        <v>95</v>
      </c>
      <c r="H1" s="13" t="s">
        <v>93</v>
      </c>
      <c r="I1" s="22" t="s">
        <v>94</v>
      </c>
      <c r="J1" s="22" t="s">
        <v>95</v>
      </c>
      <c r="K1" s="32" t="s">
        <v>95</v>
      </c>
    </row>
    <row r="2" spans="1:12">
      <c r="A2" s="14" t="s">
        <v>6</v>
      </c>
      <c r="B2" s="14" t="s">
        <v>7</v>
      </c>
      <c r="C2" s="14" t="s">
        <v>8</v>
      </c>
      <c r="D2" s="18">
        <v>1000</v>
      </c>
      <c r="E2" s="14">
        <v>30</v>
      </c>
      <c r="F2" s="14" t="s">
        <v>9</v>
      </c>
      <c r="G2" s="24" t="str">
        <f t="shared" ref="G2:G32" si="0">LEFT(A2,2)</f>
        <v>28</v>
      </c>
      <c r="H2" s="14" t="str">
        <f t="shared" ref="H2:H32" si="1">RIGHT(A2,2)</f>
        <v>US</v>
      </c>
      <c r="I2" s="29" t="str">
        <f t="shared" ref="I2:I32" si="2">CONCATENATE(C2, " ", B2)</f>
        <v>Dell Laptop</v>
      </c>
      <c r="J2" s="29" t="str">
        <f>LEFT(A2,6)</f>
        <v>28-JAN</v>
      </c>
      <c r="K2" s="33">
        <v>46050</v>
      </c>
      <c r="L2" s="39"/>
    </row>
    <row r="3" spans="1:12">
      <c r="A3" s="14" t="s">
        <v>10</v>
      </c>
      <c r="B3" s="14" t="s">
        <v>11</v>
      </c>
      <c r="C3" s="14" t="s">
        <v>12</v>
      </c>
      <c r="D3" s="18">
        <v>80</v>
      </c>
      <c r="E3" s="14">
        <v>15</v>
      </c>
      <c r="F3" s="14" t="s">
        <v>13</v>
      </c>
      <c r="G3" s="24" t="str">
        <f t="shared" si="0"/>
        <v>15</v>
      </c>
      <c r="H3" s="15" t="str">
        <f t="shared" si="1"/>
        <v>US</v>
      </c>
      <c r="I3" s="30" t="str">
        <f t="shared" si="2"/>
        <v>Nike Sneakers</v>
      </c>
      <c r="J3" s="29" t="str">
        <f t="shared" ref="J3:J32" si="3">LEFT(A3,6)</f>
        <v>15-FEB</v>
      </c>
      <c r="K3" s="33">
        <v>46068</v>
      </c>
      <c r="L3" s="39"/>
    </row>
    <row r="4" spans="1:12">
      <c r="A4" s="14" t="s">
        <v>14</v>
      </c>
      <c r="B4" s="14" t="s">
        <v>15</v>
      </c>
      <c r="C4" s="14" t="s">
        <v>16</v>
      </c>
      <c r="D4" s="18">
        <v>130</v>
      </c>
      <c r="E4" s="14">
        <v>40</v>
      </c>
      <c r="F4" s="14" t="s">
        <v>17</v>
      </c>
      <c r="G4" s="24" t="str">
        <f t="shared" si="0"/>
        <v>03</v>
      </c>
      <c r="H4" s="15" t="str">
        <f t="shared" si="1"/>
        <v>US</v>
      </c>
      <c r="I4" s="30" t="str">
        <f t="shared" si="2"/>
        <v>Keurig Coffee Maker</v>
      </c>
      <c r="J4" s="29" t="str">
        <f t="shared" si="3"/>
        <v>03-MAR</v>
      </c>
      <c r="K4" s="33">
        <v>46084</v>
      </c>
      <c r="L4" s="39"/>
    </row>
    <row r="5" spans="1:12">
      <c r="A5" s="14" t="s">
        <v>18</v>
      </c>
      <c r="B5" s="14" t="s">
        <v>19</v>
      </c>
      <c r="C5" s="14" t="s">
        <v>20</v>
      </c>
      <c r="D5" s="18">
        <v>900</v>
      </c>
      <c r="E5" s="14">
        <v>25</v>
      </c>
      <c r="F5" s="14" t="s">
        <v>9</v>
      </c>
      <c r="G5" s="24" t="str">
        <f t="shared" si="0"/>
        <v>11</v>
      </c>
      <c r="H5" s="15" t="str">
        <f t="shared" si="1"/>
        <v>US</v>
      </c>
      <c r="I5" s="30" t="str">
        <f t="shared" si="2"/>
        <v>Samsung Smartphone</v>
      </c>
      <c r="J5" s="29" t="str">
        <f t="shared" si="3"/>
        <v>11-APR</v>
      </c>
      <c r="K5" s="33">
        <v>46123</v>
      </c>
    </row>
    <row r="6" spans="1:12">
      <c r="A6" s="14" t="s">
        <v>21</v>
      </c>
      <c r="B6" s="14" t="s">
        <v>22</v>
      </c>
      <c r="C6" s="14" t="s">
        <v>23</v>
      </c>
      <c r="D6" s="18">
        <v>70</v>
      </c>
      <c r="E6" s="14">
        <v>20</v>
      </c>
      <c r="F6" s="14" t="s">
        <v>24</v>
      </c>
      <c r="G6" s="24" t="str">
        <f t="shared" si="0"/>
        <v>22</v>
      </c>
      <c r="H6" s="15" t="str">
        <f t="shared" si="1"/>
        <v>US</v>
      </c>
      <c r="I6" s="30" t="str">
        <f t="shared" si="2"/>
        <v>North Face Backpack</v>
      </c>
      <c r="J6" s="29" t="str">
        <f t="shared" si="3"/>
        <v>22-MAY</v>
      </c>
      <c r="K6" s="33">
        <v>46164</v>
      </c>
    </row>
    <row r="7" spans="1:12">
      <c r="A7" s="14" t="s">
        <v>25</v>
      </c>
      <c r="B7" s="14" t="s">
        <v>26</v>
      </c>
      <c r="C7" s="14" t="s">
        <v>27</v>
      </c>
      <c r="D7" s="18">
        <v>200</v>
      </c>
      <c r="E7" s="14">
        <v>45</v>
      </c>
      <c r="F7" s="14" t="s">
        <v>9</v>
      </c>
      <c r="G7" s="24" t="str">
        <f t="shared" si="0"/>
        <v>07</v>
      </c>
      <c r="H7" s="15" t="str">
        <f t="shared" si="1"/>
        <v>UK</v>
      </c>
      <c r="I7" s="30" t="str">
        <f t="shared" si="2"/>
        <v>Sony Headphones</v>
      </c>
      <c r="J7" s="29" t="str">
        <f t="shared" si="3"/>
        <v>07-JUN</v>
      </c>
      <c r="K7" s="33">
        <v>46180</v>
      </c>
    </row>
    <row r="8" spans="1:12">
      <c r="A8" s="14" t="s">
        <v>28</v>
      </c>
      <c r="B8" s="14" t="s">
        <v>29</v>
      </c>
      <c r="C8" s="14" t="s">
        <v>30</v>
      </c>
      <c r="D8" s="18">
        <v>30</v>
      </c>
      <c r="E8" s="14">
        <v>5</v>
      </c>
      <c r="F8" s="14" t="s">
        <v>13</v>
      </c>
      <c r="G8" s="24" t="str">
        <f t="shared" si="0"/>
        <v>19</v>
      </c>
      <c r="H8" s="15" t="str">
        <f t="shared" si="1"/>
        <v>UK</v>
      </c>
      <c r="I8" s="30" t="str">
        <f t="shared" si="2"/>
        <v>Adidas T-shirt</v>
      </c>
      <c r="J8" s="29" t="str">
        <f t="shared" si="3"/>
        <v>19-JUL</v>
      </c>
      <c r="K8" s="33">
        <v>46222</v>
      </c>
    </row>
    <row r="9" spans="1:12">
      <c r="A9" s="14" t="s">
        <v>31</v>
      </c>
      <c r="B9" s="14" t="s">
        <v>32</v>
      </c>
      <c r="C9" s="14" t="s">
        <v>33</v>
      </c>
      <c r="D9" s="18">
        <v>90</v>
      </c>
      <c r="E9" s="14">
        <v>35</v>
      </c>
      <c r="F9" s="14" t="s">
        <v>17</v>
      </c>
      <c r="G9" s="24" t="str">
        <f t="shared" si="0"/>
        <v>23</v>
      </c>
      <c r="H9" s="15" t="str">
        <f t="shared" si="1"/>
        <v>UK</v>
      </c>
      <c r="I9" s="30" t="str">
        <f t="shared" si="2"/>
        <v>Ninja Blender</v>
      </c>
      <c r="J9" s="29" t="str">
        <f t="shared" si="3"/>
        <v>23-AUG</v>
      </c>
      <c r="K9" s="33">
        <v>46257</v>
      </c>
    </row>
    <row r="10" spans="1:12">
      <c r="A10" s="14" t="s">
        <v>34</v>
      </c>
      <c r="B10" s="14" t="s">
        <v>35</v>
      </c>
      <c r="C10" s="14" t="s">
        <v>36</v>
      </c>
      <c r="D10" s="18">
        <v>500</v>
      </c>
      <c r="E10" s="14">
        <v>50</v>
      </c>
      <c r="F10" s="14" t="s">
        <v>9</v>
      </c>
      <c r="G10" s="24" t="str">
        <f t="shared" si="0"/>
        <v>05</v>
      </c>
      <c r="H10" s="15" t="str">
        <f t="shared" si="1"/>
        <v>UK</v>
      </c>
      <c r="I10" s="30" t="str">
        <f t="shared" si="2"/>
        <v>Apple Tablet</v>
      </c>
      <c r="J10" s="29" t="str">
        <f t="shared" si="3"/>
        <v>05-SEP</v>
      </c>
      <c r="K10" s="33">
        <v>46270</v>
      </c>
    </row>
    <row r="11" spans="1:12">
      <c r="A11" s="14" t="s">
        <v>37</v>
      </c>
      <c r="B11" s="14" t="s">
        <v>38</v>
      </c>
      <c r="C11" s="14" t="s">
        <v>39</v>
      </c>
      <c r="D11" s="18">
        <v>130</v>
      </c>
      <c r="E11" s="14">
        <v>10</v>
      </c>
      <c r="F11" s="14" t="s">
        <v>24</v>
      </c>
      <c r="G11" s="24" t="str">
        <f t="shared" si="0"/>
        <v>14</v>
      </c>
      <c r="H11" s="15" t="str">
        <f t="shared" si="1"/>
        <v>UK</v>
      </c>
      <c r="I11" s="30" t="str">
        <f t="shared" si="2"/>
        <v>Timberland Hiking Boots</v>
      </c>
      <c r="J11" s="29" t="str">
        <f t="shared" si="3"/>
        <v>14-OCT</v>
      </c>
      <c r="K11" s="33">
        <v>46309</v>
      </c>
    </row>
    <row r="12" spans="1:12">
      <c r="A12" s="14" t="s">
        <v>40</v>
      </c>
      <c r="B12" s="14" t="s">
        <v>7</v>
      </c>
      <c r="C12" s="14" t="s">
        <v>41</v>
      </c>
      <c r="D12" s="18">
        <v>950</v>
      </c>
      <c r="E12" s="14">
        <v>25</v>
      </c>
      <c r="F12" s="14" t="s">
        <v>9</v>
      </c>
      <c r="G12" s="24" t="str">
        <f t="shared" si="0"/>
        <v>17</v>
      </c>
      <c r="H12" s="15" t="str">
        <f t="shared" si="1"/>
        <v>IN</v>
      </c>
      <c r="I12" s="30" t="str">
        <f t="shared" si="2"/>
        <v>HP Laptop</v>
      </c>
      <c r="J12" s="29" t="str">
        <f t="shared" si="3"/>
        <v>17-JUN</v>
      </c>
      <c r="K12" s="33">
        <v>46190</v>
      </c>
    </row>
    <row r="13" spans="1:12">
      <c r="A13" s="14" t="s">
        <v>42</v>
      </c>
      <c r="B13" s="14" t="s">
        <v>11</v>
      </c>
      <c r="C13" s="14" t="s">
        <v>30</v>
      </c>
      <c r="D13" s="18">
        <v>90</v>
      </c>
      <c r="E13" s="14">
        <v>40</v>
      </c>
      <c r="F13" s="14" t="s">
        <v>13</v>
      </c>
      <c r="G13" s="24" t="str">
        <f t="shared" si="0"/>
        <v>25</v>
      </c>
      <c r="H13" s="15" t="str">
        <f t="shared" si="1"/>
        <v>AU</v>
      </c>
      <c r="I13" s="30" t="str">
        <f t="shared" si="2"/>
        <v>Adidas Sneakers</v>
      </c>
      <c r="J13" s="29" t="str">
        <f t="shared" si="3"/>
        <v>25-NOV</v>
      </c>
      <c r="K13" s="33">
        <v>46351</v>
      </c>
    </row>
    <row r="14" spans="1:12">
      <c r="A14" s="14" t="s">
        <v>43</v>
      </c>
      <c r="B14" s="14" t="s">
        <v>15</v>
      </c>
      <c r="C14" s="14" t="s">
        <v>44</v>
      </c>
      <c r="D14" s="18">
        <v>120</v>
      </c>
      <c r="E14" s="14">
        <v>35</v>
      </c>
      <c r="F14" s="14" t="s">
        <v>17</v>
      </c>
      <c r="G14" s="24" t="str">
        <f t="shared" si="0"/>
        <v>08</v>
      </c>
      <c r="H14" s="15" t="str">
        <f t="shared" si="1"/>
        <v>DE</v>
      </c>
      <c r="I14" s="30" t="str">
        <f t="shared" si="2"/>
        <v>Nespresso Coffee Maker</v>
      </c>
      <c r="J14" s="29" t="str">
        <f t="shared" si="3"/>
        <v>08-DEC</v>
      </c>
      <c r="K14" s="33">
        <v>46364</v>
      </c>
    </row>
    <row r="15" spans="1:12">
      <c r="A15" s="14" t="s">
        <v>45</v>
      </c>
      <c r="B15" s="14" t="s">
        <v>46</v>
      </c>
      <c r="C15" s="14" t="s">
        <v>47</v>
      </c>
      <c r="D15" s="18">
        <v>150</v>
      </c>
      <c r="E15" s="14">
        <v>15</v>
      </c>
      <c r="F15" s="14" t="s">
        <v>9</v>
      </c>
      <c r="G15" s="24" t="str">
        <f t="shared" si="0"/>
        <v>18</v>
      </c>
      <c r="H15" s="15" t="str">
        <f t="shared" si="1"/>
        <v>CA</v>
      </c>
      <c r="I15" s="30" t="str">
        <f t="shared" si="2"/>
        <v>Fitbit Smartwatch</v>
      </c>
      <c r="J15" s="29" t="str">
        <f t="shared" si="3"/>
        <v>18-FEB</v>
      </c>
      <c r="K15" s="33">
        <v>46071</v>
      </c>
    </row>
    <row r="16" spans="1:12">
      <c r="A16" s="14" t="s">
        <v>48</v>
      </c>
      <c r="B16" s="14" t="s">
        <v>26</v>
      </c>
      <c r="C16" s="14" t="s">
        <v>49</v>
      </c>
      <c r="D16" s="18">
        <v>250</v>
      </c>
      <c r="E16" s="14">
        <v>20</v>
      </c>
      <c r="F16" s="14" t="s">
        <v>9</v>
      </c>
      <c r="G16" s="24" t="str">
        <f t="shared" si="0"/>
        <v>16</v>
      </c>
      <c r="H16" s="14" t="str">
        <f t="shared" si="1"/>
        <v>ES</v>
      </c>
      <c r="I16" s="29" t="str">
        <f t="shared" si="2"/>
        <v>Bose Headphones</v>
      </c>
      <c r="J16" s="29" t="str">
        <f>LEFT(A16,6)</f>
        <v>16-APR</v>
      </c>
      <c r="K16" s="33">
        <v>46128</v>
      </c>
    </row>
    <row r="17" spans="1:11">
      <c r="A17" s="14" t="s">
        <v>50</v>
      </c>
      <c r="B17" s="14" t="s">
        <v>51</v>
      </c>
      <c r="C17" s="14" t="s">
        <v>52</v>
      </c>
      <c r="D17" s="18">
        <v>50</v>
      </c>
      <c r="E17" s="14">
        <v>35</v>
      </c>
      <c r="F17" s="12" t="s">
        <v>53</v>
      </c>
      <c r="G17" s="25" t="str">
        <f t="shared" si="0"/>
        <v>21</v>
      </c>
      <c r="H17" s="15" t="str">
        <f t="shared" si="1"/>
        <v>CA</v>
      </c>
      <c r="I17" s="30" t="str">
        <f t="shared" si="2"/>
        <v>Samsonite Laptop Bag</v>
      </c>
      <c r="J17" s="29" t="str">
        <f t="shared" si="3"/>
        <v>21-AUG</v>
      </c>
      <c r="K17" s="33">
        <v>46255</v>
      </c>
    </row>
    <row r="18" spans="1:11">
      <c r="A18" s="14" t="s">
        <v>54</v>
      </c>
      <c r="B18" s="14" t="s">
        <v>46</v>
      </c>
      <c r="C18" s="14" t="s">
        <v>55</v>
      </c>
      <c r="D18" s="18">
        <v>160</v>
      </c>
      <c r="E18" s="14">
        <v>15</v>
      </c>
      <c r="F18" s="14" t="s">
        <v>9</v>
      </c>
      <c r="G18" s="24" t="str">
        <f t="shared" si="0"/>
        <v>20</v>
      </c>
      <c r="H18" s="15" t="str">
        <f t="shared" si="1"/>
        <v>CN</v>
      </c>
      <c r="I18" s="30" t="str">
        <f t="shared" si="2"/>
        <v>Huawei Smartwatch</v>
      </c>
      <c r="J18" s="29" t="str">
        <f t="shared" si="3"/>
        <v>20-AUG</v>
      </c>
      <c r="K18" s="33">
        <v>46254</v>
      </c>
    </row>
    <row r="19" spans="1:11">
      <c r="A19" s="14" t="s">
        <v>56</v>
      </c>
      <c r="B19" s="14" t="s">
        <v>7</v>
      </c>
      <c r="C19" s="14" t="s">
        <v>57</v>
      </c>
      <c r="D19" s="18">
        <v>980</v>
      </c>
      <c r="E19" s="14">
        <v>10</v>
      </c>
      <c r="F19" s="14" t="s">
        <v>9</v>
      </c>
      <c r="G19" s="24" t="str">
        <f t="shared" si="0"/>
        <v>27</v>
      </c>
      <c r="H19" s="15" t="str">
        <f t="shared" si="1"/>
        <v>IT</v>
      </c>
      <c r="I19" s="30" t="str">
        <f t="shared" si="2"/>
        <v>Asus Laptop</v>
      </c>
      <c r="J19" s="29" t="str">
        <f t="shared" si="3"/>
        <v>27-JAN</v>
      </c>
      <c r="K19" s="33">
        <v>46049</v>
      </c>
    </row>
    <row r="20" spans="1:11">
      <c r="A20" s="14" t="s">
        <v>58</v>
      </c>
      <c r="B20" s="14" t="s">
        <v>59</v>
      </c>
      <c r="C20" s="14" t="s">
        <v>60</v>
      </c>
      <c r="D20" s="18">
        <v>150</v>
      </c>
      <c r="E20" s="14">
        <v>15</v>
      </c>
      <c r="F20" s="14" t="s">
        <v>13</v>
      </c>
      <c r="G20" s="24" t="str">
        <f t="shared" si="0"/>
        <v>01</v>
      </c>
      <c r="H20" s="15" t="str">
        <f t="shared" si="1"/>
        <v>UK</v>
      </c>
      <c r="I20" s="30" t="str">
        <f t="shared" si="2"/>
        <v>Oakley Sunglasses</v>
      </c>
      <c r="J20" s="29" t="str">
        <f t="shared" si="3"/>
        <v>01-MAR</v>
      </c>
      <c r="K20" s="33">
        <v>46082</v>
      </c>
    </row>
    <row r="21" spans="1:11">
      <c r="A21" s="14" t="s">
        <v>61</v>
      </c>
      <c r="B21" s="14" t="s">
        <v>62</v>
      </c>
      <c r="C21" s="14" t="s">
        <v>63</v>
      </c>
      <c r="D21" s="18">
        <v>200</v>
      </c>
      <c r="E21" s="14">
        <v>10</v>
      </c>
      <c r="F21" s="14" t="s">
        <v>24</v>
      </c>
      <c r="G21" s="24" t="str">
        <f t="shared" si="0"/>
        <v>14</v>
      </c>
      <c r="H21" s="15" t="str">
        <f t="shared" si="1"/>
        <v>US</v>
      </c>
      <c r="I21" s="30" t="str">
        <f t="shared" si="2"/>
        <v>Coleman Camping Tent</v>
      </c>
      <c r="J21" s="29" t="str">
        <f t="shared" si="3"/>
        <v>14-AUG</v>
      </c>
      <c r="K21" s="33">
        <v>46248</v>
      </c>
    </row>
    <row r="22" spans="1:11">
      <c r="A22" s="14" t="s">
        <v>64</v>
      </c>
      <c r="B22" s="14" t="s">
        <v>65</v>
      </c>
      <c r="C22" s="14" t="s">
        <v>66</v>
      </c>
      <c r="D22" s="18">
        <v>700</v>
      </c>
      <c r="E22" s="14">
        <v>50</v>
      </c>
      <c r="F22" s="14" t="s">
        <v>9</v>
      </c>
      <c r="G22" s="24" t="str">
        <f t="shared" si="0"/>
        <v>14</v>
      </c>
      <c r="H22" s="15" t="str">
        <f t="shared" si="1"/>
        <v>RU</v>
      </c>
      <c r="I22" s="30" t="str">
        <f t="shared" si="2"/>
        <v>Nikon Camera</v>
      </c>
      <c r="J22" s="29" t="str">
        <f t="shared" si="3"/>
        <v>14-MAY</v>
      </c>
      <c r="K22" s="33">
        <v>46156</v>
      </c>
    </row>
    <row r="23" spans="1:11">
      <c r="A23" s="10" t="s">
        <v>67</v>
      </c>
      <c r="B23" s="11" t="s">
        <v>68</v>
      </c>
      <c r="C23" s="11" t="s">
        <v>69</v>
      </c>
      <c r="D23" s="19">
        <v>80</v>
      </c>
      <c r="E23" s="11">
        <v>20</v>
      </c>
      <c r="F23" s="14" t="s">
        <v>17</v>
      </c>
      <c r="G23" s="24" t="str">
        <f t="shared" si="0"/>
        <v>09</v>
      </c>
      <c r="H23" s="15" t="str">
        <f t="shared" si="1"/>
        <v>CA</v>
      </c>
      <c r="I23" s="30" t="str">
        <f t="shared" si="2"/>
        <v>Panasonic Microwave</v>
      </c>
      <c r="J23" s="29" t="str">
        <f t="shared" si="3"/>
        <v>09-JAN</v>
      </c>
      <c r="K23" s="33">
        <v>46031</v>
      </c>
    </row>
    <row r="24" spans="1:11">
      <c r="A24" s="14" t="s">
        <v>70</v>
      </c>
      <c r="B24" s="14" t="s">
        <v>71</v>
      </c>
      <c r="C24" s="14" t="s">
        <v>72</v>
      </c>
      <c r="D24" s="18">
        <v>150</v>
      </c>
      <c r="E24" s="14">
        <v>30</v>
      </c>
      <c r="F24" s="14" t="s">
        <v>9</v>
      </c>
      <c r="G24" s="24" t="str">
        <f t="shared" si="0"/>
        <v>19</v>
      </c>
      <c r="H24" s="15" t="str">
        <f t="shared" si="1"/>
        <v>BR</v>
      </c>
      <c r="I24" s="30" t="str">
        <f t="shared" si="2"/>
        <v>Xiaomi Fitness Tracker</v>
      </c>
      <c r="J24" s="29" t="str">
        <f t="shared" si="3"/>
        <v>19-JUL</v>
      </c>
      <c r="K24" s="33">
        <v>46222</v>
      </c>
    </row>
    <row r="25" spans="1:11">
      <c r="A25" s="14" t="s">
        <v>73</v>
      </c>
      <c r="B25" s="14" t="s">
        <v>19</v>
      </c>
      <c r="C25" s="14" t="s">
        <v>74</v>
      </c>
      <c r="D25" s="18">
        <v>800</v>
      </c>
      <c r="E25" s="14">
        <v>45</v>
      </c>
      <c r="F25" s="14" t="s">
        <v>9</v>
      </c>
      <c r="G25" s="24" t="str">
        <f t="shared" si="0"/>
        <v>29</v>
      </c>
      <c r="H25" s="15" t="str">
        <f t="shared" si="1"/>
        <v>CA</v>
      </c>
      <c r="I25" s="30" t="str">
        <f t="shared" si="2"/>
        <v>Google Smartphone</v>
      </c>
      <c r="J25" s="29" t="str">
        <f t="shared" si="3"/>
        <v>29-SEP</v>
      </c>
      <c r="K25" s="33">
        <v>46294</v>
      </c>
    </row>
    <row r="26" spans="1:11">
      <c r="A26" s="14" t="s">
        <v>75</v>
      </c>
      <c r="B26" s="14" t="s">
        <v>59</v>
      </c>
      <c r="C26" s="14" t="s">
        <v>76</v>
      </c>
      <c r="D26" s="18">
        <v>130</v>
      </c>
      <c r="E26" s="14">
        <v>25</v>
      </c>
      <c r="F26" s="14" t="s">
        <v>13</v>
      </c>
      <c r="G26" s="24" t="str">
        <f t="shared" si="0"/>
        <v>03</v>
      </c>
      <c r="H26" s="15" t="str">
        <f t="shared" si="1"/>
        <v>CA</v>
      </c>
      <c r="I26" s="30" t="str">
        <f t="shared" si="2"/>
        <v>Ray-Ban Sunglasses</v>
      </c>
      <c r="J26" s="29" t="str">
        <f t="shared" si="3"/>
        <v>03-JUN</v>
      </c>
      <c r="K26" s="33">
        <v>46176</v>
      </c>
    </row>
    <row r="27" spans="1:11">
      <c r="A27" s="14" t="s">
        <v>77</v>
      </c>
      <c r="B27" s="14" t="s">
        <v>32</v>
      </c>
      <c r="C27" s="14" t="s">
        <v>78</v>
      </c>
      <c r="D27" s="18">
        <v>400</v>
      </c>
      <c r="E27" s="14">
        <v>40</v>
      </c>
      <c r="F27" s="14" t="s">
        <v>17</v>
      </c>
      <c r="G27" s="24" t="str">
        <f t="shared" si="0"/>
        <v>11</v>
      </c>
      <c r="H27" s="15" t="str">
        <f t="shared" si="1"/>
        <v>CA</v>
      </c>
      <c r="I27" s="30" t="str">
        <f t="shared" si="2"/>
        <v>Vitamix Blender</v>
      </c>
      <c r="J27" s="29" t="str">
        <f t="shared" si="3"/>
        <v>11-JUL</v>
      </c>
      <c r="K27" s="33">
        <v>46214</v>
      </c>
    </row>
    <row r="28" spans="1:11">
      <c r="A28" s="14" t="s">
        <v>79</v>
      </c>
      <c r="B28" s="14" t="s">
        <v>80</v>
      </c>
      <c r="C28" s="14" t="s">
        <v>81</v>
      </c>
      <c r="D28" s="18">
        <v>60</v>
      </c>
      <c r="E28" s="14">
        <v>30</v>
      </c>
      <c r="F28" s="14" t="s">
        <v>13</v>
      </c>
      <c r="G28" s="24" t="str">
        <f t="shared" si="0"/>
        <v>07</v>
      </c>
      <c r="H28" s="15" t="str">
        <f t="shared" si="1"/>
        <v>CA</v>
      </c>
      <c r="I28" s="30" t="str">
        <f t="shared" si="2"/>
        <v>Zara Dress</v>
      </c>
      <c r="J28" s="29" t="str">
        <f t="shared" si="3"/>
        <v>07-MAR</v>
      </c>
      <c r="K28" s="33">
        <v>46088</v>
      </c>
    </row>
    <row r="29" spans="1:11">
      <c r="A29" s="14" t="s">
        <v>82</v>
      </c>
      <c r="B29" s="14" t="s">
        <v>83</v>
      </c>
      <c r="C29" s="14" t="s">
        <v>84</v>
      </c>
      <c r="D29" s="18">
        <v>40</v>
      </c>
      <c r="E29" s="14">
        <v>10</v>
      </c>
      <c r="F29" s="14" t="s">
        <v>17</v>
      </c>
      <c r="G29" s="24" t="str">
        <f t="shared" si="0"/>
        <v>13</v>
      </c>
      <c r="H29" s="15" t="str">
        <f t="shared" si="1"/>
        <v>CA</v>
      </c>
      <c r="I29" s="30" t="str">
        <f t="shared" si="2"/>
        <v>Hamilton Toaster</v>
      </c>
      <c r="J29" s="29" t="str">
        <f>LEFT(A29,6)</f>
        <v>13-APR</v>
      </c>
      <c r="K29" s="33">
        <v>46125</v>
      </c>
    </row>
    <row r="30" spans="1:11">
      <c r="A30" s="14" t="s">
        <v>85</v>
      </c>
      <c r="B30" s="14" t="s">
        <v>71</v>
      </c>
      <c r="C30" s="14" t="s">
        <v>86</v>
      </c>
      <c r="D30" s="18">
        <v>130</v>
      </c>
      <c r="E30" s="14">
        <v>5</v>
      </c>
      <c r="F30" s="14" t="s">
        <v>9</v>
      </c>
      <c r="G30" s="24" t="str">
        <f t="shared" si="0"/>
        <v>24</v>
      </c>
      <c r="H30" s="15" t="str">
        <f t="shared" si="1"/>
        <v>CA</v>
      </c>
      <c r="I30" s="30" t="str">
        <f t="shared" si="2"/>
        <v>Garmin Fitness Tracker</v>
      </c>
      <c r="J30" s="29" t="str">
        <f t="shared" si="3"/>
        <v>24-MAY</v>
      </c>
      <c r="K30" s="33">
        <v>46166</v>
      </c>
    </row>
    <row r="31" spans="1:11">
      <c r="A31" s="14" t="s">
        <v>87</v>
      </c>
      <c r="B31" s="14" t="s">
        <v>88</v>
      </c>
      <c r="C31" s="14" t="s">
        <v>89</v>
      </c>
      <c r="D31" s="18">
        <v>50</v>
      </c>
      <c r="E31" s="14">
        <v>50</v>
      </c>
      <c r="F31" s="14" t="s">
        <v>13</v>
      </c>
      <c r="G31" s="24" t="str">
        <f t="shared" si="0"/>
        <v>02</v>
      </c>
      <c r="H31" s="15" t="str">
        <f t="shared" si="1"/>
        <v>CA</v>
      </c>
      <c r="I31" s="30" t="str">
        <f t="shared" si="2"/>
        <v>Levi's Jeans</v>
      </c>
      <c r="J31" s="29" t="str">
        <f t="shared" si="3"/>
        <v>02-DEC</v>
      </c>
      <c r="K31" s="33">
        <v>46358</v>
      </c>
    </row>
    <row r="32" spans="1:11">
      <c r="A32" s="14" t="s">
        <v>90</v>
      </c>
      <c r="B32" s="14" t="s">
        <v>91</v>
      </c>
      <c r="C32" s="14" t="s">
        <v>92</v>
      </c>
      <c r="D32" s="18">
        <v>100</v>
      </c>
      <c r="E32" s="14">
        <v>20</v>
      </c>
      <c r="F32" s="14" t="s">
        <v>53</v>
      </c>
      <c r="G32" s="26" t="str">
        <f t="shared" si="0"/>
        <v>09</v>
      </c>
      <c r="H32" s="16" t="str">
        <f t="shared" si="1"/>
        <v>FR</v>
      </c>
      <c r="I32" s="31" t="str">
        <f t="shared" si="2"/>
        <v>Casio Watch</v>
      </c>
      <c r="J32" s="29" t="str">
        <f t="shared" si="3"/>
        <v>09-JUL</v>
      </c>
      <c r="K32" s="33">
        <v>46212</v>
      </c>
    </row>
    <row r="33" spans="1:11">
      <c r="A33"/>
      <c r="B33"/>
      <c r="C33"/>
      <c r="D33" s="20"/>
      <c r="E33"/>
      <c r="F33"/>
      <c r="G33" s="27"/>
      <c r="K33" s="35"/>
    </row>
    <row r="34" spans="1:11">
      <c r="A34"/>
      <c r="B34"/>
      <c r="C34"/>
      <c r="D34" s="20"/>
      <c r="E34"/>
      <c r="F34"/>
      <c r="G34" s="27"/>
      <c r="K34" s="35"/>
    </row>
    <row r="35" spans="1:11">
      <c r="A35"/>
      <c r="B35"/>
      <c r="C35"/>
      <c r="D35" s="20"/>
      <c r="E35"/>
      <c r="F35"/>
      <c r="G35" s="27"/>
      <c r="K35" s="35"/>
    </row>
    <row r="36" spans="1:11">
      <c r="K36" s="35"/>
    </row>
    <row r="37" spans="1:11">
      <c r="K37" s="35"/>
    </row>
    <row r="38" spans="1:11">
      <c r="K38" s="35"/>
    </row>
    <row r="39" spans="1:11">
      <c r="K39" s="35"/>
    </row>
    <row r="40" spans="1:11">
      <c r="K40" s="35"/>
    </row>
    <row r="41" spans="1:11">
      <c r="K41" s="35"/>
    </row>
    <row r="42" spans="1:11">
      <c r="K42" s="35"/>
    </row>
    <row r="43" spans="1:11">
      <c r="K43" s="35"/>
    </row>
    <row r="44" spans="1:11">
      <c r="K44" s="35"/>
    </row>
    <row r="45" spans="1:11">
      <c r="K45" s="35"/>
    </row>
    <row r="46" spans="1:11">
      <c r="K46" s="35"/>
    </row>
    <row r="47" spans="1:11">
      <c r="K47" s="35"/>
    </row>
    <row r="48" spans="1:11">
      <c r="K48" s="35"/>
    </row>
    <row r="49" spans="11:11">
      <c r="K49" s="35"/>
    </row>
    <row r="50" spans="11:11">
      <c r="K50" s="35"/>
    </row>
    <row r="51" spans="11:11">
      <c r="K51" s="35"/>
    </row>
    <row r="52" spans="11:11">
      <c r="K52" s="35"/>
    </row>
    <row r="53" spans="11:11">
      <c r="K53" s="35"/>
    </row>
    <row r="54" spans="11:11">
      <c r="K54" s="35"/>
    </row>
    <row r="55" spans="11:11">
      <c r="K55" s="35"/>
    </row>
    <row r="56" spans="11:11">
      <c r="K56" s="35"/>
    </row>
    <row r="57" spans="11:11">
      <c r="K57" s="35"/>
    </row>
    <row r="58" spans="11:11">
      <c r="K58" s="35"/>
    </row>
    <row r="59" spans="11:11">
      <c r="K59" s="35"/>
    </row>
    <row r="60" spans="11:11">
      <c r="K60" s="35"/>
    </row>
    <row r="61" spans="11:11">
      <c r="K61" s="35"/>
    </row>
    <row r="62" spans="11:11">
      <c r="K62" s="35"/>
    </row>
    <row r="63" spans="11:11">
      <c r="K63" s="35"/>
    </row>
    <row r="64" spans="11:11">
      <c r="K64" s="35"/>
    </row>
    <row r="65" spans="11:11">
      <c r="K65" s="35"/>
    </row>
    <row r="66" spans="11:11">
      <c r="K66" s="35"/>
    </row>
    <row r="67" spans="11:11">
      <c r="K67" s="35"/>
    </row>
    <row r="68" spans="11:11">
      <c r="K68" s="35"/>
    </row>
    <row r="69" spans="11:11">
      <c r="K69" s="35"/>
    </row>
    <row r="70" spans="11:11">
      <c r="K70" s="35"/>
    </row>
    <row r="71" spans="11:11">
      <c r="K71" s="35"/>
    </row>
    <row r="72" spans="11:11">
      <c r="K72" s="35"/>
    </row>
    <row r="73" spans="11:11">
      <c r="K73" s="35"/>
    </row>
    <row r="74" spans="11:11">
      <c r="K74" s="35"/>
    </row>
    <row r="75" spans="11:11">
      <c r="K75" s="35"/>
    </row>
    <row r="76" spans="11:11">
      <c r="K76" s="35"/>
    </row>
    <row r="77" spans="11:11">
      <c r="K77" s="35"/>
    </row>
    <row r="78" spans="11:11">
      <c r="K78" s="35"/>
    </row>
    <row r="79" spans="11:11">
      <c r="K79" s="35"/>
    </row>
    <row r="80" spans="11:11">
      <c r="K80" s="35"/>
    </row>
    <row r="81" spans="11:11">
      <c r="K81" s="35"/>
    </row>
    <row r="82" spans="11:11">
      <c r="K82" s="35"/>
    </row>
    <row r="83" spans="11:11">
      <c r="K83" s="35"/>
    </row>
    <row r="84" spans="11:11">
      <c r="K84" s="35"/>
    </row>
    <row r="85" spans="11:11">
      <c r="K85" s="35"/>
    </row>
    <row r="86" spans="11:11">
      <c r="K86" s="35"/>
    </row>
    <row r="87" spans="11:11">
      <c r="K87" s="35"/>
    </row>
    <row r="88" spans="11:11">
      <c r="K88" s="35"/>
    </row>
    <row r="89" spans="11:11">
      <c r="K89" s="35"/>
    </row>
    <row r="90" spans="11:11">
      <c r="K90" s="35"/>
    </row>
    <row r="91" spans="11:11">
      <c r="K91" s="35"/>
    </row>
    <row r="92" spans="11:11">
      <c r="K92" s="35"/>
    </row>
    <row r="93" spans="11:11">
      <c r="K93" s="35"/>
    </row>
    <row r="94" spans="11:11">
      <c r="K94" s="35"/>
    </row>
    <row r="95" spans="11:11">
      <c r="K95" s="35"/>
    </row>
    <row r="96" spans="11:11">
      <c r="K96" s="35"/>
    </row>
    <row r="97" spans="11:11">
      <c r="K97" s="35"/>
    </row>
    <row r="98" spans="11:11">
      <c r="K98" s="35"/>
    </row>
    <row r="99" spans="11:11">
      <c r="K99" s="35"/>
    </row>
    <row r="100" spans="11:11">
      <c r="K100" s="35"/>
    </row>
    <row r="101" spans="11:11">
      <c r="K101" s="35"/>
    </row>
    <row r="102" spans="11:11">
      <c r="K102" s="35"/>
    </row>
    <row r="103" spans="11:11">
      <c r="K103" s="35"/>
    </row>
    <row r="104" spans="11:11">
      <c r="K104" s="35"/>
    </row>
    <row r="105" spans="11:11">
      <c r="K105" s="35"/>
    </row>
    <row r="106" spans="11:11">
      <c r="K106" s="38"/>
    </row>
  </sheetData>
  <conditionalFormatting sqref="D23 D1 D33:D1048576">
    <cfRule type="dataBar" priority="5">
      <dataBar>
        <cfvo type="min" val="0"/>
        <cfvo type="max" val="0"/>
        <color rgb="FFFF0000"/>
      </dataBar>
    </cfRule>
  </conditionalFormatting>
  <conditionalFormatting sqref="D1:D1048576">
    <cfRule type="dataBar" priority="3">
      <dataBar>
        <cfvo type="min" val="0"/>
        <cfvo type="max" val="0"/>
        <color rgb="FFFF555A"/>
      </dataBar>
    </cfRule>
  </conditionalFormatting>
  <conditionalFormatting sqref="F2:G32">
    <cfRule type="containsText" dxfId="2" priority="2" operator="containsText" text="Electronics">
      <formula>NOT(ISERROR(SEARCH("Electronics",F2)))</formula>
    </cfRule>
  </conditionalFormatting>
  <conditionalFormatting sqref="F2:G2">
    <cfRule type="containsText" dxfId="1" priority="1" operator="containsText" text="Electronics">
      <formula>NOT(ISERROR(SEARCH("Electronics",F2)))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B3:B38"/>
  <sheetViews>
    <sheetView workbookViewId="0">
      <selection activeCell="H40" sqref="H40"/>
    </sheetView>
  </sheetViews>
  <sheetFormatPr defaultRowHeight="12.75"/>
  <sheetData>
    <row r="3" spans="2:2">
      <c r="B3" s="36" t="s">
        <v>96</v>
      </c>
    </row>
    <row r="4" spans="2:2">
      <c r="B4" s="36" t="s">
        <v>109</v>
      </c>
    </row>
    <row r="5" spans="2:2">
      <c r="B5" t="s">
        <v>97</v>
      </c>
    </row>
    <row r="6" spans="2:2">
      <c r="B6" t="s">
        <v>98</v>
      </c>
    </row>
    <row r="8" spans="2:2">
      <c r="B8" s="37" t="s">
        <v>99</v>
      </c>
    </row>
    <row r="9" spans="2:2">
      <c r="B9" t="s">
        <v>100</v>
      </c>
    </row>
    <row r="10" spans="2:2">
      <c r="B10" t="s">
        <v>101</v>
      </c>
    </row>
    <row r="11" spans="2:2">
      <c r="B11" t="s">
        <v>102</v>
      </c>
    </row>
    <row r="13" spans="2:2">
      <c r="B13" s="37" t="s">
        <v>103</v>
      </c>
    </row>
    <row r="14" spans="2:2">
      <c r="B14" s="37" t="s">
        <v>106</v>
      </c>
    </row>
    <row r="15" spans="2:2">
      <c r="B15" t="s">
        <v>104</v>
      </c>
    </row>
    <row r="16" spans="2:2">
      <c r="B16" s="37" t="s">
        <v>105</v>
      </c>
    </row>
    <row r="19" spans="2:2">
      <c r="B19" s="37" t="s">
        <v>107</v>
      </c>
    </row>
    <row r="20" spans="2:2">
      <c r="B20" s="37" t="s">
        <v>123</v>
      </c>
    </row>
    <row r="21" spans="2:2">
      <c r="B21" t="s">
        <v>108</v>
      </c>
    </row>
    <row r="22" spans="2:2">
      <c r="B22" t="s">
        <v>110</v>
      </c>
    </row>
    <row r="23" spans="2:2">
      <c r="B23" s="37" t="s">
        <v>112</v>
      </c>
    </row>
    <row r="24" spans="2:2">
      <c r="B24" s="37" t="s">
        <v>111</v>
      </c>
    </row>
    <row r="26" spans="2:2">
      <c r="B26" s="37" t="s">
        <v>113</v>
      </c>
    </row>
    <row r="27" spans="2:2">
      <c r="B27" t="s">
        <v>114</v>
      </c>
    </row>
    <row r="28" spans="2:2">
      <c r="B28" t="s">
        <v>115</v>
      </c>
    </row>
    <row r="29" spans="2:2">
      <c r="B29" t="s">
        <v>116</v>
      </c>
    </row>
    <row r="30" spans="2:2">
      <c r="B30" s="37" t="s">
        <v>117</v>
      </c>
    </row>
    <row r="31" spans="2:2">
      <c r="B31" s="37" t="s">
        <v>118</v>
      </c>
    </row>
    <row r="33" spans="2:2">
      <c r="B33" s="37" t="s">
        <v>119</v>
      </c>
    </row>
    <row r="34" spans="2:2">
      <c r="B34" t="s">
        <v>114</v>
      </c>
    </row>
    <row r="35" spans="2:2">
      <c r="B35" t="s">
        <v>120</v>
      </c>
    </row>
    <row r="36" spans="2:2">
      <c r="B36" t="s">
        <v>5</v>
      </c>
    </row>
    <row r="37" spans="2:2">
      <c r="B37" t="s">
        <v>121</v>
      </c>
    </row>
    <row r="38" spans="2:2">
      <c r="B38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Jsip</dc:creator>
  <cp:lastModifiedBy>Jsip</cp:lastModifiedBy>
  <dcterms:created xsi:type="dcterms:W3CDTF">2026-06-20T07:40:03Z</dcterms:created>
  <dcterms:modified xsi:type="dcterms:W3CDTF">2026-06-28T10:41:11Z</dcterms:modified>
</cp:coreProperties>
</file>